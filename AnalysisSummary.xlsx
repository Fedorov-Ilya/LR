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64606i\Desktop\"/>
    </mc:Choice>
  </mc:AlternateContent>
  <xr:revisionPtr revIDLastSave="0" documentId="13_ncr:1_{B8634EF5-70C6-48CF-9B8C-660F15F4B957}" xr6:coauthVersionLast="37" xr6:coauthVersionMax="37" xr10:uidLastSave="{00000000-0000-0000-0000-000000000000}"/>
  <bookViews>
    <workbookView xWindow="0" yWindow="0" windowWidth="28800" windowHeight="12375" xr2:uid="{DDC3D8F1-7458-421F-95F1-5ABA0FD69C23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9" i="1"/>
  <c r="G8" i="1"/>
  <c r="G7" i="1"/>
  <c r="G6" i="1"/>
  <c r="G5" i="1"/>
  <c r="G3" i="1"/>
  <c r="F10" i="1" l="1"/>
  <c r="H9" i="1"/>
  <c r="H8" i="1"/>
  <c r="H7" i="1"/>
  <c r="H6" i="1"/>
  <c r="H5" i="1"/>
  <c r="H4" i="1"/>
  <c r="G10" i="1" l="1"/>
  <c r="H10" i="1" s="1"/>
  <c r="H3" i="1"/>
</calcChain>
</file>

<file path=xl/sharedStrings.xml><?xml version="1.0" encoding="utf-8"?>
<sst xmlns="http://schemas.openxmlformats.org/spreadsheetml/2006/main" count="14" uniqueCount="14">
  <si>
    <t>№</t>
  </si>
  <si>
    <t>Transaction Name</t>
  </si>
  <si>
    <t>90 Percent</t>
  </si>
  <si>
    <t>По факту</t>
  </si>
  <si>
    <t>По профилю</t>
  </si>
  <si>
    <t>Отклонение</t>
  </si>
  <si>
    <t>transaction_delete_flight</t>
  </si>
  <si>
    <t>transaction_login</t>
  </si>
  <si>
    <t>transaction_logout</t>
  </si>
  <si>
    <t>transaction_select_date</t>
  </si>
  <si>
    <t>transaction_select_find_flight</t>
  </si>
  <si>
    <t>transaction_select_itinerary</t>
  </si>
  <si>
    <t>transaction_select_payment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</si>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</sst>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3" applyNumberFormat="0" applyFill="0" applyAlignment="0" applyProtection="0"/>
    <xf numFmtId="0" fontId="4" fillId="0" borderId="14" applyNumberFormat="0" applyFill="0" applyAlignment="0" applyProtection="0"/>
    <xf numFmtId="0" fontId="5" fillId="0" borderId="15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6" applyNumberFormat="0" applyAlignment="0" applyProtection="0"/>
    <xf numFmtId="0" fontId="10" fillId="7" borderId="17" applyNumberFormat="0" applyAlignment="0" applyProtection="0"/>
    <xf numFmtId="0" fontId="11" fillId="7" borderId="16" applyNumberFormat="0" applyAlignment="0" applyProtection="0"/>
    <xf numFmtId="0" fontId="12" fillId="0" borderId="18" applyNumberFormat="0" applyFill="0" applyAlignment="0" applyProtection="0"/>
    <xf numFmtId="0" fontId="13" fillId="8" borderId="19" applyNumberFormat="0" applyAlignment="0" applyProtection="0"/>
    <xf numFmtId="0" fontId="14" fillId="0" borderId="0" applyNumberFormat="0" applyFill="0" applyBorder="0" applyAlignment="0" applyProtection="0"/>
    <xf numFmtId="0" fontId="1" fillId="9" borderId="2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1" fillId="0" borderId="6" xfId="1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0" borderId="4" xfId="0" applyBorder="1"/>
    <xf numFmtId="0" fontId="0" fillId="0" borderId="24" xfId="0" applyBorder="1" applyAlignment="1">
      <alignment horizontal="center"/>
    </xf>
    <xf numFmtId="0" fontId="0" fillId="0" borderId="10" xfId="0" applyBorder="1"/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0" xfId="0"/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2"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1DA3-A2B1-4022-BF8C-C57159F3F5AA}">
  <dimension ref="C1:V20"/>
  <sheetViews>
    <sheetView tabSelected="1" workbookViewId="0">
      <selection activeCell="I10" sqref="I10"/>
    </sheetView>
  </sheetViews>
  <sheetFormatPr defaultRowHeight="15" x14ac:dyDescent="0.25"/>
  <cols>
    <col min="3" max="3" width="3.140625" bestFit="1" customWidth="1"/>
    <col min="4" max="4" width="28" bestFit="1" customWidth="1"/>
    <col min="5" max="5" width="10.28515625" bestFit="1" customWidth="1"/>
    <col min="6" max="6" width="9" bestFit="1" customWidth="1"/>
    <col min="7" max="7" width="12.42578125" bestFit="1" customWidth="1"/>
    <col min="8" max="8" width="12.28515625" bestFit="1" customWidth="1"/>
    <col min="11" max="11" width="3.140625" bestFit="1" customWidth="1"/>
    <col min="12" max="12" width="28" bestFit="1" customWidth="1"/>
    <col min="13" max="13" width="10.28515625" bestFit="1" customWidth="1"/>
    <col min="14" max="14" width="9" bestFit="1" customWidth="1"/>
    <col min="15" max="15" width="12.42578125" bestFit="1" customWidth="1"/>
    <col min="16" max="16" width="12.28515625" bestFit="1" customWidth="1"/>
  </cols>
  <sheetData>
    <row r="1" spans="3:22" ht="15.75" thickBot="1" x14ac:dyDescent="0.3"/>
    <row r="2" spans="3:22" ht="15.75" thickBot="1" x14ac:dyDescent="0.3">
      <c r="C2" s="1" t="s">
        <v>0</v>
      </c>
      <c r="D2" s="2" t="s">
        <v>1</v>
      </c>
      <c r="E2" s="18" t="s">
        <v>2</v>
      </c>
      <c r="F2" s="1" t="s">
        <v>3</v>
      </c>
      <c r="G2" s="3" t="s">
        <v>4</v>
      </c>
      <c r="H2" s="1" t="s">
        <v>5</v>
      </c>
    </row>
    <row r="3" spans="3:22" ht="15.75" thickBot="1" x14ac:dyDescent="0.3">
      <c r="C3" s="1">
        <v>1</v>
      </c>
      <c r="D3" s="2" t="s">
        <v>6</v>
      </c>
      <c r="E3" s="11">
        <v>4.5999999999999999E-2</v>
      </c>
      <c r="F3" s="14">
        <v>72</v>
      </c>
      <c r="G3" s="4">
        <f>73</f>
        <v>73</v>
      </c>
      <c r="H3" s="5">
        <f t="shared" ref="H3" si="0">F3/G3-100%</f>
        <v>-1.3698630136986356E-2</v>
      </c>
    </row>
    <row r="4" spans="3:22" ht="15.75" thickBot="1" x14ac:dyDescent="0.3">
      <c r="C4" s="1">
        <v>2</v>
      </c>
      <c r="D4" s="2" t="s">
        <v>7</v>
      </c>
      <c r="E4" s="17">
        <v>9.1999999999999998E-2</v>
      </c>
      <c r="F4" s="12">
        <v>408</v>
      </c>
      <c r="G4" s="6">
        <f>401</f>
        <v>401</v>
      </c>
      <c r="H4" s="5">
        <f>F4/G4-100%</f>
        <v>1.7456359102244301E-2</v>
      </c>
    </row>
    <row r="5" spans="3:22" ht="15.75" thickBot="1" x14ac:dyDescent="0.3">
      <c r="C5" s="7">
        <v>3</v>
      </c>
      <c r="D5" s="2" t="s">
        <v>8</v>
      </c>
      <c r="E5" s="17">
        <v>5.3999999999999999E-2</v>
      </c>
      <c r="F5" s="12">
        <v>312</v>
      </c>
      <c r="G5" s="6">
        <f>312</f>
        <v>312</v>
      </c>
      <c r="H5" s="5">
        <f>F5/G5-100%</f>
        <v>0</v>
      </c>
    </row>
    <row r="6" spans="3:22" ht="15.75" thickBot="1" x14ac:dyDescent="0.3">
      <c r="C6" s="1">
        <v>4</v>
      </c>
      <c r="D6" s="2" t="s">
        <v>9</v>
      </c>
      <c r="E6" s="17">
        <v>3.4000000000000002E-2</v>
      </c>
      <c r="F6" s="12">
        <v>273</v>
      </c>
      <c r="G6" s="6">
        <f>272</f>
        <v>272</v>
      </c>
      <c r="H6" s="5">
        <f t="shared" ref="H6:H10" si="1">F6/G6-100%</f>
        <v>3.6764705882352811E-3</v>
      </c>
    </row>
    <row r="7" spans="3:22" ht="15.75" thickBot="1" x14ac:dyDescent="0.3">
      <c r="C7" s="1">
        <v>5</v>
      </c>
      <c r="D7" s="2" t="s">
        <v>10</v>
      </c>
      <c r="E7" s="17">
        <v>3.4000000000000002E-2</v>
      </c>
      <c r="F7" s="12">
        <v>273</v>
      </c>
      <c r="G7" s="6">
        <f>272</f>
        <v>272</v>
      </c>
      <c r="H7" s="5">
        <f t="shared" si="1"/>
        <v>3.6764705882352811E-3</v>
      </c>
    </row>
    <row r="8" spans="3:22" ht="15.75" thickBot="1" x14ac:dyDescent="0.3">
      <c r="C8" s="1">
        <v>6</v>
      </c>
      <c r="D8" s="2" t="s">
        <v>11</v>
      </c>
      <c r="E8" s="17">
        <v>0.108</v>
      </c>
      <c r="F8" s="12">
        <v>165</v>
      </c>
      <c r="G8" s="6">
        <f>166</f>
        <v>166</v>
      </c>
      <c r="H8" s="5">
        <f t="shared" si="1"/>
        <v>-6.0240963855421326E-3</v>
      </c>
    </row>
    <row r="9" spans="3:22" ht="15.75" thickBot="1" x14ac:dyDescent="0.3">
      <c r="C9" s="1">
        <v>7</v>
      </c>
      <c r="D9" s="2" t="s">
        <v>12</v>
      </c>
      <c r="E9" s="15">
        <v>3.5000000000000003E-2</v>
      </c>
      <c r="F9" s="16">
        <v>183</v>
      </c>
      <c r="G9" s="8">
        <f>183</f>
        <v>183</v>
      </c>
      <c r="H9" s="5">
        <f t="shared" si="1"/>
        <v>0</v>
      </c>
    </row>
    <row r="10" spans="3:22" ht="15.75" thickBot="1" x14ac:dyDescent="0.3">
      <c r="C10" s="9"/>
      <c r="D10" s="10" t="s">
        <v>13</v>
      </c>
      <c r="E10" s="13"/>
      <c r="F10" s="1">
        <f>SUM(F3:F9)</f>
        <v>1686</v>
      </c>
      <c r="G10" s="19">
        <f>SUM(G3:G9)</f>
        <v>1679</v>
      </c>
      <c r="H10" s="5">
        <f t="shared" si="1"/>
        <v>4.1691483025609877E-3</v>
      </c>
    </row>
    <row r="14" spans="3:22" x14ac:dyDescent="0.25">
      <c r="V14" s="20"/>
    </row>
    <row r="15" spans="3:22" x14ac:dyDescent="0.25">
      <c r="V15" s="20"/>
    </row>
    <row r="16" spans="3:22" x14ac:dyDescent="0.25">
      <c r="V16" s="20"/>
    </row>
    <row r="17" spans="22:22" x14ac:dyDescent="0.25">
      <c r="V17" s="20"/>
    </row>
    <row r="18" spans="22:22" x14ac:dyDescent="0.25">
      <c r="V18" s="20"/>
    </row>
    <row r="19" spans="22:22" x14ac:dyDescent="0.25">
      <c r="V19" s="20"/>
    </row>
    <row r="20" spans="22:22" x14ac:dyDescent="0.25">
      <c r="V20" s="20"/>
    </row>
  </sheetData>
  <conditionalFormatting sqref="H3:H10">
    <cfRule type="cellIs" dxfId="1" priority="2" operator="between">
      <formula>-0.05</formula>
      <formula>0.05</formula>
    </cfRule>
  </conditionalFormatting>
  <conditionalFormatting sqref="H3:H10">
    <cfRule type="cellIs" dxfId="0" priority="1" operator="notBetween">
      <formula>-0.05</formula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4464606i</dc:creator>
  <cp:lastModifiedBy>4464606i</cp:lastModifiedBy>
  <dcterms:created xsi:type="dcterms:W3CDTF">2020-05-16T16:08:49Z</dcterms:created>
  <dcterms:modified xsi:type="dcterms:W3CDTF">2020-05-22T20:02:38Z</dcterms:modified>
</cp:coreProperties>
</file>